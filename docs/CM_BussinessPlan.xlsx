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Overview" sheetId="1" r:id="rId5"/>
    <sheet state="visible" name="2. Implementation" sheetId="2" r:id="rId6"/>
    <sheet state="visible" name="3. Non-Implementation Tasks" sheetId="3" r:id="rId7"/>
    <sheet state="visible" name="4. HW Price" sheetId="4" r:id="rId8"/>
    <sheet state="visible" name="5. Staffing Resources" sheetId="5" r:id="rId9"/>
    <sheet state="visible" name="6. Yearly Payments" sheetId="6" r:id="rId10"/>
    <sheet state="visible" name="7. Business Plan" sheetId="7" r:id="rId11"/>
  </sheets>
  <definedNames/>
  <calcPr/>
</workbook>
</file>

<file path=xl/sharedStrings.xml><?xml version="1.0" encoding="utf-8"?>
<sst xmlns="http://schemas.openxmlformats.org/spreadsheetml/2006/main" count="162" uniqueCount="123">
  <si>
    <t>Section</t>
  </si>
  <si>
    <t>Value</t>
  </si>
  <si>
    <t>Unit</t>
  </si>
  <si>
    <t>Implementation - Total hours</t>
  </si>
  <si>
    <t>h</t>
  </si>
  <si>
    <t>Implementation - Total cost</t>
  </si>
  <si>
    <t>CZK</t>
  </si>
  <si>
    <t>Hardware Price</t>
  </si>
  <si>
    <t>Non-Implementation Overhead Cost</t>
  </si>
  <si>
    <t>Annual Operating Costs</t>
  </si>
  <si>
    <t>CZK/yr</t>
  </si>
  <si>
    <t>5-Year Total Price</t>
  </si>
  <si>
    <t>Category</t>
  </si>
  <si>
    <t>Task</t>
  </si>
  <si>
    <t>Assigned To</t>
  </si>
  <si>
    <t>Hours</t>
  </si>
  <si>
    <t>Cost (CZK)</t>
  </si>
  <si>
    <t>Mandays</t>
  </si>
  <si>
    <t>Design</t>
  </si>
  <si>
    <t>Software Architecture (.NET MAUI)</t>
  </si>
  <si>
    <t>Kristián, Michal</t>
  </si>
  <si>
    <t>1 MD = 8h</t>
  </si>
  <si>
    <t>UI/UX Design</t>
  </si>
  <si>
    <t>Jonáš, Aneta, Kristián</t>
  </si>
  <si>
    <t>Initial GUI Layout (Draft)</t>
  </si>
  <si>
    <t>Štěpán, Ondřej</t>
  </si>
  <si>
    <t>Final Graphic Mockup</t>
  </si>
  <si>
    <t>Implementation</t>
  </si>
  <si>
    <t>3D Library Selection &amp; Integration</t>
  </si>
  <si>
    <t>Kristián</t>
  </si>
  <si>
    <t>DB Analysis (SQLite/JSON)</t>
  </si>
  <si>
    <t>Petr, Michal</t>
  </si>
  <si>
    <t>Data Model &amp; ER Diagram</t>
  </si>
  <si>
    <t>DB Schema Implementation</t>
  </si>
  <si>
    <t>Petr</t>
  </si>
  <si>
    <t>Data Seeding (Wheelchair Components)</t>
  </si>
  <si>
    <t>Backend</t>
  </si>
  <si>
    <t>Component Data Models</t>
  </si>
  <si>
    <t>Michal</t>
  </si>
  <si>
    <t>Compatibility Rule Engine</t>
  </si>
  <si>
    <t>Clinical Recommendation Logic</t>
  </si>
  <si>
    <t>Frontend</t>
  </si>
  <si>
    <t>UI Components &amp; Layout</t>
  </si>
  <si>
    <t>Ondřej, Štěpán</t>
  </si>
  <si>
    <t>Configurator Selection Logic</t>
  </si>
  <si>
    <t>Ondřej</t>
  </si>
  <si>
    <t>UI and 3D Engine Integration</t>
  </si>
  <si>
    <t>Kristián, Štěpán</t>
  </si>
  <si>
    <t>Dynamic 3D Model Updates</t>
  </si>
  <si>
    <t>Testing</t>
  </si>
  <si>
    <t>Logic Unit Tests</t>
  </si>
  <si>
    <t>User Acceptance Testing (FZS)</t>
  </si>
  <si>
    <t>Štěpán</t>
  </si>
  <si>
    <t>TOTAL</t>
  </si>
  <si>
    <t>Project Initialization &amp; Setup</t>
  </si>
  <si>
    <t>Requirements Analysis &amp; Scope</t>
  </si>
  <si>
    <t>Petr, Štěpán</t>
  </si>
  <si>
    <t>Client Consultations (FZS, FDU)</t>
  </si>
  <si>
    <t>Štěpán, Jonáš</t>
  </si>
  <si>
    <t>SRS Documentation</t>
  </si>
  <si>
    <t>Business Plan &amp; WBS Creation</t>
  </si>
  <si>
    <t>Client Confirmation &amp; Protocol</t>
  </si>
  <si>
    <t>Ongoing Project Management</t>
  </si>
  <si>
    <t>CI/CD &amp; DevOps Pipeline</t>
  </si>
  <si>
    <t>Component</t>
  </si>
  <si>
    <t>Unit Price (CZK)</t>
  </si>
  <si>
    <t>Qty</t>
  </si>
  <si>
    <t>Total (CZK)</t>
  </si>
  <si>
    <t>Source</t>
  </si>
  <si>
    <t>Android Tablet 10" (ARM64, Vulkan 1.1)</t>
  </si>
  <si>
    <t>alza.cz</t>
  </si>
  <si>
    <t>Protective Case (Medical Grade)</t>
  </si>
  <si>
    <t>czc.cz</t>
  </si>
  <si>
    <t>Charging Hub / Station</t>
  </si>
  <si>
    <t>i-tec.pro</t>
  </si>
  <si>
    <t>Clinical Testing Stand</t>
  </si>
  <si>
    <t>ergostand.cz</t>
  </si>
  <si>
    <t>Role</t>
  </si>
  <si>
    <t>Name</t>
  </si>
  <si>
    <t>Gross Salary</t>
  </si>
  <si>
    <t>Total Cost (+33.8%)</t>
  </si>
  <si>
    <t>Hourly Cost</t>
  </si>
  <si>
    <t>Margin (20%)</t>
  </si>
  <si>
    <t>Billable Rate</t>
  </si>
  <si>
    <t>Project Leader</t>
  </si>
  <si>
    <t>Štěpán Bříza</t>
  </si>
  <si>
    <t>DB Master &amp; QA</t>
  </si>
  <si>
    <t>Petr Chrz</t>
  </si>
  <si>
    <t>Structural Engineer</t>
  </si>
  <si>
    <t>Kristián Kameník</t>
  </si>
  <si>
    <t>Backend Developer</t>
  </si>
  <si>
    <t>Michal Jonáš</t>
  </si>
  <si>
    <t>Frontend Developer</t>
  </si>
  <si>
    <t>Ondřej Všelko</t>
  </si>
  <si>
    <t>UI/UX Designer</t>
  </si>
  <si>
    <t>Jonáš Bahner</t>
  </si>
  <si>
    <t>3D Modeler</t>
  </si>
  <si>
    <t>Aneta Smetanová</t>
  </si>
  <si>
    <t>Kristián Knap</t>
  </si>
  <si>
    <t>AVERAGE RATE</t>
  </si>
  <si>
    <t>Cost Item</t>
  </si>
  <si>
    <t>Annual Amount (CZK)</t>
  </si>
  <si>
    <t>Cloud Hosting &amp; Database Sync (Azure/AWS)</t>
  </si>
  <si>
    <t>Maintenance &amp; Tech Support (10h/month)</t>
  </si>
  <si>
    <t>Legislative &amp; MDR/GDPR Updates</t>
  </si>
  <si>
    <t>Office Rent &amp; Admin Overhead</t>
  </si>
  <si>
    <t>TOTAL ANNUAL COST</t>
  </si>
  <si>
    <t>Variable</t>
  </si>
  <si>
    <t>Meaning</t>
  </si>
  <si>
    <t>$N$</t>
  </si>
  <si>
    <t>Number of configurations per year</t>
  </si>
  <si>
    <t>$T$</t>
  </si>
  <si>
    <t>Time saved per configuration (hours)</t>
  </si>
  <si>
    <t>$C_h$</t>
  </si>
  <si>
    <t>Therapist hourly rate (CZK/h)</t>
  </si>
  <si>
    <t>$E$</t>
  </si>
  <si>
    <t>Share of eliminated errors</t>
  </si>
  <si>
    <t>$C_e$</t>
  </si>
  <si>
    <t>Cost of fixing one manual error</t>
  </si>
  <si>
    <t>V</t>
  </si>
  <si>
    <t>Total Annual Social Value</t>
  </si>
  <si>
    <t>P</t>
  </si>
  <si>
    <t>Annual License Fee (10% Value Capture)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</si>
</sst>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Kč-405]"/>
  </numFmts>
  <fonts count="6">
    <font>
      <sz val="10.0"/>
      <color rgb="FF000000"/>
      <name val="Arial"/>
      <scheme val="minor"/>
    </font>
    <font>
      <color theme="1"/>
      <name val="Google Sans Text"/>
    </font>
    <font>
      <color theme="1"/>
      <name val="Arial"/>
      <scheme val="minor"/>
    </font>
    <font>
      <b/>
      <color theme="1"/>
      <name val="Google Sans Text"/>
    </font>
    <font>
      <b/>
      <color theme="1"/>
      <name val="Arial"/>
      <scheme val="minor"/>
    </font>
    <font>
      <u/>
      <color rgb="FF0000FF"/>
      <name val="Google Sans Text"/>
    </font>
  </fonts>
  <fills count="2">
    <fill>
      <patternFill patternType="none"/>
    </fill>
    <fill>
      <patternFill patternType="lightGray"/>
    </fill>
  </fills>
  <borders count="2">
    <border/>
    <border>
      <top style="double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1" fillId="0" fontId="4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5" pivot="0" name="1. Overview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2. Implementation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3. Non-Implementation Task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4. HW Price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5. Staffing Resource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6. Yearly Payment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7. Business Plan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'1. Overview'!$A$3:$A$6</c:f>
            </c:strRef>
          </c:cat>
          <c:val>
            <c:numRef>
              <c:f>'1. Overview'!$B$3:$B$6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47625</xdr:rowOff>
    </xdr:from>
    <xdr:ext cx="7686675" cy="3838575"/>
    <xdr:graphicFrame>
      <xdr:nvGraphicFramePr>
        <xdr:cNvPr id="1" name="Chart 1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C7" displayName="Overview" name="Overview" id="1">
  <tableColumns count="3">
    <tableColumn totalsRowLabel="5-Year Total Price" name="Section" id="1"/>
    <tableColumn totalsRowFunction="custom" name="Value" id="2"/>
    <tableColumn totalsRowLabel="CZK" name="Unit" id="3"/>
  </tableColumns>
  <tableStyleInfo name="1. Overview-style" showColumnStripes="0" showFirstColumn="1" showLastColumn="1" showRowStripes="1"/>
</table>
</file>

<file path=xl/tables/table2.xml><?xml version="1.0" encoding="utf-8"?>
<table xmlns="http://schemas.openxmlformats.org/spreadsheetml/2006/main" totalsRowCount="1" ref="A1:F20" displayName="Implementation" name="Implementation" id="2">
  <tableColumns count="6">
    <tableColumn totalsRowLabel="TOTAL" name="Category" id="1"/>
    <tableColumn name="Task" id="2"/>
    <tableColumn name="Assigned To" id="3"/>
    <tableColumn totalsRowFunction="custom" name="Hours" id="4"/>
    <tableColumn totalsRowFunction="custom" name="Cost (CZK)" id="5"/>
    <tableColumn totalsRowFunction="custom" name="Mandays" id="6"/>
  </tableColumns>
  <tableStyleInfo name="2. Implementation-style" showColumnStripes="0" showFirstColumn="1" showLastColumn="1" showRowStripes="1"/>
</table>
</file>

<file path=xl/tables/table3.xml><?xml version="1.0" encoding="utf-8"?>
<table xmlns="http://schemas.openxmlformats.org/spreadsheetml/2006/main" totalsRowCount="1" ref="A1:E10" displayName="Non_Implementation" name="Non_Implementation" id="3">
  <tableColumns count="5">
    <tableColumn totalsRowLabel="TOTAL" name="Task" id="1"/>
    <tableColumn name="Assigned To" id="2"/>
    <tableColumn totalsRowFunction="custom" name="Hours" id="3"/>
    <tableColumn totalsRowFunction="custom" name="Mandays" id="4"/>
    <tableColumn totalsRowFunction="custom" name="Cost (CZK)" id="5"/>
  </tableColumns>
  <tableStyleInfo name="3. Non-Implementation Tasks-style" showColumnStripes="0" showFirstColumn="1" showLastColumn="1" showRowStripes="1"/>
</table>
</file>

<file path=xl/tables/table4.xml><?xml version="1.0" encoding="utf-8"?>
<table xmlns="http://schemas.openxmlformats.org/spreadsheetml/2006/main" totalsRowCount="1" ref="A1:E6" displayName="HW_Price" name="HW_Price" id="4">
  <tableColumns count="5">
    <tableColumn totalsRowLabel="TOTAL" name="Component" id="1"/>
    <tableColumn name="Unit Price (CZK)" id="2"/>
    <tableColumn name="Qty" id="3"/>
    <tableColumn totalsRowFunction="custom" name="Total (CZK)" id="4"/>
    <tableColumn name="Source" id="5"/>
  </tableColumns>
  <tableStyleInfo name="4. HW Price-style" showColumnStripes="0" showFirstColumn="1" showLastColumn="1" showRowStripes="1"/>
</table>
</file>

<file path=xl/tables/table5.xml><?xml version="1.0" encoding="utf-8"?>
<table xmlns="http://schemas.openxmlformats.org/spreadsheetml/2006/main" totalsRowCount="1" ref="A1:G10" displayName="Staffing" name="Staffing" id="5">
  <tableColumns count="7">
    <tableColumn totalsRowLabel="AVERAGE RATE" name="Role" id="1"/>
    <tableColumn name="Name" id="2"/>
    <tableColumn name="Gross Salary" id="3"/>
    <tableColumn name="Total Cost (+33.8%)" id="4"/>
    <tableColumn name="Hourly Cost" id="5"/>
    <tableColumn name="Margin (20%)" id="6"/>
    <tableColumn totalsRowFunction="custom" name="Billable Rate" id="7"/>
  </tableColumns>
  <tableStyleInfo name="5. Staffing Resources-style" showColumnStripes="0" showFirstColumn="1" showLastColumn="1" showRowStripes="1"/>
</table>
</file>

<file path=xl/tables/table6.xml><?xml version="1.0" encoding="utf-8"?>
<table xmlns="http://schemas.openxmlformats.org/spreadsheetml/2006/main" totalsRowCount="1" ref="A1:B6" displayName="Yearly_Payments" name="Yearly_Payments" id="6">
  <tableColumns count="2">
    <tableColumn totalsRowLabel="TOTAL ANNUAL COST" name="Cost Item" id="1"/>
    <tableColumn totalsRowFunction="custom" name="Annual Amount (CZK)" id="2"/>
  </tableColumns>
  <tableStyleInfo name="6. Yearly Payments-style" showColumnStripes="0" showFirstColumn="1" showLastColumn="1" showRowStripes="1"/>
</table>
</file>

<file path=xl/tables/table7.xml><?xml version="1.0" encoding="utf-8"?>
<table xmlns="http://schemas.openxmlformats.org/spreadsheetml/2006/main" ref="A1:C8" displayName="Bussiness_Plan" name="Bussiness_Plan" id="7">
  <tableColumns count="3">
    <tableColumn name="Variable" id="1"/>
    <tableColumn name="Meaning" id="2"/>
    <tableColumn name="Value" id="3"/>
  </tableColumns>
  <tableStyleInfo name="7. Business 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alza.cz" TargetMode="External"/><Relationship Id="rId2" Type="http://schemas.openxmlformats.org/officeDocument/2006/relationships/hyperlink" Target="http://czc.cz" TargetMode="External"/><Relationship Id="rId3" Type="http://schemas.openxmlformats.org/officeDocument/2006/relationships/hyperlink" Target="http://i-tec.pro" TargetMode="External"/><Relationship Id="rId4" Type="http://schemas.openxmlformats.org/officeDocument/2006/relationships/hyperlink" Target="http://ergostand.cz" TargetMode="External"/><Relationship Id="rId5" Type="http://schemas.openxmlformats.org/officeDocument/2006/relationships/drawing" Target="../drawings/drawing4.xml"/><Relationship Id="rId7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  <col customWidth="1" min="2" max="2" width="14.3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3">
        <f>SUM('2. Implementation'!D2:D100)</f>
        <v>2352</v>
      </c>
      <c r="C2" s="2" t="s">
        <v>4</v>
      </c>
    </row>
    <row r="3" ht="22.5" customHeight="1">
      <c r="A3" s="2" t="s">
        <v>5</v>
      </c>
      <c r="B3" s="4">
        <f>SUM('2. Implementation'!E2:E100)</f>
        <v>2020948.65</v>
      </c>
      <c r="C3" s="2" t="s">
        <v>6</v>
      </c>
    </row>
    <row r="4" ht="22.5" customHeight="1">
      <c r="A4" s="2" t="s">
        <v>7</v>
      </c>
      <c r="B4" s="5">
        <f>SUM('3. Non-Implementation Tasks'!E2:E100)</f>
        <v>1584727.2</v>
      </c>
      <c r="C4" s="2" t="s">
        <v>6</v>
      </c>
    </row>
    <row r="5" ht="22.5" customHeight="1">
      <c r="A5" s="2" t="s">
        <v>8</v>
      </c>
      <c r="B5" s="5">
        <f>SUM('4. HW Price'!D2:D100)</f>
        <v>137000</v>
      </c>
      <c r="C5" s="2" t="s">
        <v>6</v>
      </c>
    </row>
    <row r="6" ht="22.5" customHeight="1">
      <c r="A6" s="2" t="s">
        <v>9</v>
      </c>
      <c r="B6" s="6">
        <f>SUM('6. Yearly Payments'!B2:B100)</f>
        <v>778000</v>
      </c>
      <c r="C6" s="2" t="s">
        <v>10</v>
      </c>
    </row>
    <row r="7" ht="22.5" customHeight="1">
      <c r="A7" s="7" t="s">
        <v>11</v>
      </c>
      <c r="B7" s="8">
        <f>(B3 + B4 + B5) + (5 * B6)</f>
        <v>7632675.85</v>
      </c>
      <c r="C7" s="7" t="s">
        <v>6</v>
      </c>
    </row>
  </sheetData>
  <printOptions gridLines="1"/>
  <pageMargins bottom="0.75" footer="0.0" header="0.0" left="0.7" right="0.7" top="0.75"/>
  <pageSetup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32.75"/>
    <col customWidth="1" min="3" max="3" width="21.5"/>
    <col customWidth="1" min="4" max="4" width="14.0"/>
    <col customWidth="1" min="5" max="5" width="17.38"/>
    <col customWidth="1" min="6" max="6" width="15.63"/>
  </cols>
  <sheetData>
    <row r="1" ht="22.5" customHeigh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ht="22.5" customHeight="1">
      <c r="A2" s="9" t="s">
        <v>18</v>
      </c>
      <c r="B2" s="2" t="s">
        <v>19</v>
      </c>
      <c r="C2" s="2" t="s">
        <v>20</v>
      </c>
      <c r="D2" s="10">
        <v>80.0</v>
      </c>
      <c r="E2" s="11">
        <f>D2 * '5. Staffing Resources'!$G$10</f>
        <v>68739.75</v>
      </c>
      <c r="F2" s="12">
        <f t="shared" ref="F2:F19" si="1">D2/8</f>
        <v>10</v>
      </c>
      <c r="H2" s="13" t="s">
        <v>21</v>
      </c>
    </row>
    <row r="3" ht="22.5" customHeight="1">
      <c r="A3" s="9" t="s">
        <v>18</v>
      </c>
      <c r="B3" s="2" t="s">
        <v>22</v>
      </c>
      <c r="C3" s="2" t="s">
        <v>23</v>
      </c>
      <c r="D3" s="10">
        <v>120.0</v>
      </c>
      <c r="E3" s="11">
        <f>D3 * '5. Staffing Resources'!$G$10</f>
        <v>103109.625</v>
      </c>
      <c r="F3" s="12">
        <f t="shared" si="1"/>
        <v>15</v>
      </c>
    </row>
    <row r="4" ht="22.5" customHeight="1">
      <c r="A4" s="9" t="s">
        <v>18</v>
      </c>
      <c r="B4" s="2" t="s">
        <v>24</v>
      </c>
      <c r="C4" s="2" t="s">
        <v>25</v>
      </c>
      <c r="D4" s="10">
        <v>80.0</v>
      </c>
      <c r="E4" s="11">
        <f>D4 * '5. Staffing Resources'!$G$10</f>
        <v>68739.75</v>
      </c>
      <c r="F4" s="12">
        <f t="shared" si="1"/>
        <v>10</v>
      </c>
    </row>
    <row r="5" ht="22.5" customHeight="1">
      <c r="A5" s="9" t="s">
        <v>18</v>
      </c>
      <c r="B5" s="2" t="s">
        <v>26</v>
      </c>
      <c r="C5" s="2" t="s">
        <v>25</v>
      </c>
      <c r="D5" s="10">
        <v>40.0</v>
      </c>
      <c r="E5" s="11">
        <f>D5 * '5. Staffing Resources'!$G$10</f>
        <v>34369.875</v>
      </c>
      <c r="F5" s="12">
        <f t="shared" si="1"/>
        <v>5</v>
      </c>
    </row>
    <row r="6" ht="22.5" customHeight="1">
      <c r="A6" s="9" t="s">
        <v>27</v>
      </c>
      <c r="B6" s="2" t="s">
        <v>28</v>
      </c>
      <c r="C6" s="2" t="s">
        <v>29</v>
      </c>
      <c r="D6" s="10">
        <v>160.0</v>
      </c>
      <c r="E6" s="11">
        <f>D6 * '5. Staffing Resources'!$G$10</f>
        <v>137479.5</v>
      </c>
      <c r="F6" s="12">
        <f t="shared" si="1"/>
        <v>20</v>
      </c>
    </row>
    <row r="7" ht="22.5" customHeight="1">
      <c r="A7" s="9" t="s">
        <v>27</v>
      </c>
      <c r="B7" s="2" t="s">
        <v>30</v>
      </c>
      <c r="C7" s="2" t="s">
        <v>31</v>
      </c>
      <c r="D7" s="10">
        <v>64.0</v>
      </c>
      <c r="E7" s="11">
        <f>D7 * '5. Staffing Resources'!$G$10</f>
        <v>54991.8</v>
      </c>
      <c r="F7" s="12">
        <f t="shared" si="1"/>
        <v>8</v>
      </c>
    </row>
    <row r="8" ht="22.5" customHeight="1">
      <c r="A8" s="9" t="s">
        <v>27</v>
      </c>
      <c r="B8" s="2" t="s">
        <v>32</v>
      </c>
      <c r="C8" s="2" t="s">
        <v>31</v>
      </c>
      <c r="D8" s="10">
        <v>64.0</v>
      </c>
      <c r="E8" s="11">
        <f>D8 * '5. Staffing Resources'!$G$10</f>
        <v>54991.8</v>
      </c>
      <c r="F8" s="12">
        <f t="shared" si="1"/>
        <v>8</v>
      </c>
    </row>
    <row r="9" ht="22.5" customHeight="1">
      <c r="A9" s="9" t="s">
        <v>27</v>
      </c>
      <c r="B9" s="2" t="s">
        <v>33</v>
      </c>
      <c r="C9" s="2" t="s">
        <v>34</v>
      </c>
      <c r="D9" s="10">
        <v>40.0</v>
      </c>
      <c r="E9" s="11">
        <f>D9 * '5. Staffing Resources'!$G$10</f>
        <v>34369.875</v>
      </c>
      <c r="F9" s="12">
        <f t="shared" si="1"/>
        <v>5</v>
      </c>
    </row>
    <row r="10" ht="22.5" customHeight="1">
      <c r="A10" s="9" t="s">
        <v>27</v>
      </c>
      <c r="B10" s="2" t="s">
        <v>35</v>
      </c>
      <c r="C10" s="2" t="s">
        <v>34</v>
      </c>
      <c r="D10" s="10">
        <v>40.0</v>
      </c>
      <c r="E10" s="11">
        <f>D10 * '5. Staffing Resources'!$G$10</f>
        <v>34369.875</v>
      </c>
      <c r="F10" s="12">
        <f t="shared" si="1"/>
        <v>5</v>
      </c>
    </row>
    <row r="11" ht="22.5" customHeight="1">
      <c r="A11" s="9" t="s">
        <v>36</v>
      </c>
      <c r="B11" s="2" t="s">
        <v>37</v>
      </c>
      <c r="C11" s="2" t="s">
        <v>38</v>
      </c>
      <c r="D11" s="10">
        <v>88.0</v>
      </c>
      <c r="E11" s="11">
        <f>D11 * '5. Staffing Resources'!$G$10</f>
        <v>75613.725</v>
      </c>
      <c r="F11" s="12">
        <f t="shared" si="1"/>
        <v>11</v>
      </c>
    </row>
    <row r="12" ht="22.5" customHeight="1">
      <c r="A12" s="9" t="s">
        <v>36</v>
      </c>
      <c r="B12" s="2" t="s">
        <v>39</v>
      </c>
      <c r="C12" s="2" t="s">
        <v>38</v>
      </c>
      <c r="D12" s="10">
        <v>40.0</v>
      </c>
      <c r="E12" s="11">
        <f>D12 * '5. Staffing Resources'!$G$10</f>
        <v>34369.875</v>
      </c>
      <c r="F12" s="12">
        <f t="shared" si="1"/>
        <v>5</v>
      </c>
    </row>
    <row r="13" ht="22.5" customHeight="1">
      <c r="A13" s="9" t="s">
        <v>36</v>
      </c>
      <c r="B13" s="2" t="s">
        <v>40</v>
      </c>
      <c r="C13" s="2" t="s">
        <v>38</v>
      </c>
      <c r="D13" s="10">
        <v>32.0</v>
      </c>
      <c r="E13" s="11">
        <f>D13 * '5. Staffing Resources'!$G$10</f>
        <v>27495.9</v>
      </c>
      <c r="F13" s="12">
        <f t="shared" si="1"/>
        <v>4</v>
      </c>
    </row>
    <row r="14" ht="22.5" customHeight="1">
      <c r="A14" s="9" t="s">
        <v>41</v>
      </c>
      <c r="B14" s="2" t="s">
        <v>42</v>
      </c>
      <c r="C14" s="2" t="s">
        <v>43</v>
      </c>
      <c r="D14" s="10">
        <v>104.0</v>
      </c>
      <c r="E14" s="11">
        <f>D14 * '5. Staffing Resources'!$G$10</f>
        <v>89361.675</v>
      </c>
      <c r="F14" s="12">
        <f t="shared" si="1"/>
        <v>13</v>
      </c>
    </row>
    <row r="15" ht="22.5" customHeight="1">
      <c r="A15" s="9" t="s">
        <v>41</v>
      </c>
      <c r="B15" s="2" t="s">
        <v>44</v>
      </c>
      <c r="C15" s="2" t="s">
        <v>45</v>
      </c>
      <c r="D15" s="10">
        <v>56.0</v>
      </c>
      <c r="E15" s="11">
        <f>D15 * '5. Staffing Resources'!$G$10</f>
        <v>48117.825</v>
      </c>
      <c r="F15" s="12">
        <f t="shared" si="1"/>
        <v>7</v>
      </c>
    </row>
    <row r="16" ht="22.5" customHeight="1">
      <c r="A16" s="9" t="s">
        <v>41</v>
      </c>
      <c r="B16" s="2" t="s">
        <v>46</v>
      </c>
      <c r="C16" s="2" t="s">
        <v>47</v>
      </c>
      <c r="D16" s="10">
        <v>104.0</v>
      </c>
      <c r="E16" s="11">
        <f>D16 * '5. Staffing Resources'!$G$10</f>
        <v>89361.675</v>
      </c>
      <c r="F16" s="12">
        <f t="shared" si="1"/>
        <v>13</v>
      </c>
    </row>
    <row r="17" ht="22.5" customHeight="1">
      <c r="A17" s="9" t="s">
        <v>41</v>
      </c>
      <c r="B17" s="2" t="s">
        <v>48</v>
      </c>
      <c r="C17" s="2" t="s">
        <v>47</v>
      </c>
      <c r="D17" s="10">
        <v>24.0</v>
      </c>
      <c r="E17" s="11">
        <f>D17 * '5. Staffing Resources'!$G$10</f>
        <v>20621.925</v>
      </c>
      <c r="F17" s="12">
        <f t="shared" si="1"/>
        <v>3</v>
      </c>
    </row>
    <row r="18" ht="22.5" customHeight="1">
      <c r="A18" s="9" t="s">
        <v>49</v>
      </c>
      <c r="B18" s="2" t="s">
        <v>50</v>
      </c>
      <c r="C18" s="2" t="s">
        <v>38</v>
      </c>
      <c r="D18" s="10">
        <v>32.0</v>
      </c>
      <c r="E18" s="11">
        <f>D18 * '5. Staffing Resources'!$G$10</f>
        <v>27495.9</v>
      </c>
      <c r="F18" s="12">
        <f t="shared" si="1"/>
        <v>4</v>
      </c>
    </row>
    <row r="19" ht="22.5" customHeight="1">
      <c r="A19" s="9" t="s">
        <v>49</v>
      </c>
      <c r="B19" s="2" t="s">
        <v>51</v>
      </c>
      <c r="C19" s="2" t="s">
        <v>52</v>
      </c>
      <c r="D19" s="10">
        <v>8.0</v>
      </c>
      <c r="E19" s="11">
        <f>D19 * '5. Staffing Resources'!$G$10</f>
        <v>6873.975</v>
      </c>
      <c r="F19" s="12">
        <f t="shared" si="1"/>
        <v>1</v>
      </c>
    </row>
    <row r="20" ht="22.5" customHeight="1">
      <c r="A20" s="14" t="s">
        <v>53</v>
      </c>
      <c r="B20" s="15"/>
      <c r="C20" s="15"/>
      <c r="D20" s="16">
        <f>SUM(Implementation[Hours])</f>
        <v>1176</v>
      </c>
      <c r="E20" s="8">
        <f>SUM(Implementation[Cost (CZK)])</f>
        <v>1010474.325</v>
      </c>
      <c r="F20" s="16">
        <f>SUM(Implementation[Mandays])</f>
        <v>147</v>
      </c>
    </row>
  </sheetData>
  <dataValidations>
    <dataValidation type="list" allowBlank="1" sqref="A2:A19">
      <formula1>"Design,Implementation,Backend,Frontend,Testing"</formula1>
    </dataValidation>
    <dataValidation type="custom" allowBlank="1" showDropDown="1" sqref="D2:F19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13"/>
    <col customWidth="1" min="2" max="2" width="21.5"/>
    <col customWidth="1" min="3" max="3" width="15.38"/>
    <col customWidth="1" min="4" max="4" width="15.63"/>
    <col customWidth="1" min="5" max="5" width="17.38"/>
  </cols>
  <sheetData>
    <row r="1" ht="22.5" customHeight="1">
      <c r="A1" s="1" t="s">
        <v>13</v>
      </c>
      <c r="B1" s="1" t="s">
        <v>14</v>
      </c>
      <c r="C1" s="1" t="s">
        <v>15</v>
      </c>
      <c r="D1" s="1" t="s">
        <v>17</v>
      </c>
      <c r="E1" s="1" t="s">
        <v>16</v>
      </c>
    </row>
    <row r="2" ht="22.5" customHeight="1">
      <c r="A2" s="2" t="s">
        <v>54</v>
      </c>
      <c r="B2" s="2" t="s">
        <v>52</v>
      </c>
      <c r="C2" s="10">
        <v>24.0</v>
      </c>
      <c r="D2" s="12">
        <f t="shared" ref="D2:D9" si="1">C2/8</f>
        <v>3</v>
      </c>
      <c r="E2" s="11">
        <f>C2 * '5. Staffing Resources'!$G$2</f>
        <v>28900.8</v>
      </c>
      <c r="G2" s="13" t="s">
        <v>21</v>
      </c>
    </row>
    <row r="3" ht="22.5" customHeight="1">
      <c r="A3" s="2" t="s">
        <v>55</v>
      </c>
      <c r="B3" s="2" t="s">
        <v>56</v>
      </c>
      <c r="C3" s="10">
        <v>32.0</v>
      </c>
      <c r="D3" s="12">
        <f t="shared" si="1"/>
        <v>4</v>
      </c>
      <c r="E3" s="11">
        <f>C3 * '5. Staffing Resources'!$G$2</f>
        <v>38534.4</v>
      </c>
    </row>
    <row r="4" ht="22.5" customHeight="1">
      <c r="A4" s="2" t="s">
        <v>57</v>
      </c>
      <c r="B4" s="2" t="s">
        <v>58</v>
      </c>
      <c r="C4" s="10">
        <v>16.0</v>
      </c>
      <c r="D4" s="12">
        <f t="shared" si="1"/>
        <v>2</v>
      </c>
      <c r="E4" s="11">
        <f>C4 * '5. Staffing Resources'!$G$2</f>
        <v>19267.2</v>
      </c>
    </row>
    <row r="5" ht="22.5" customHeight="1">
      <c r="A5" s="2" t="s">
        <v>59</v>
      </c>
      <c r="B5" s="2" t="s">
        <v>56</v>
      </c>
      <c r="C5" s="10">
        <v>240.0</v>
      </c>
      <c r="D5" s="12">
        <f t="shared" si="1"/>
        <v>30</v>
      </c>
      <c r="E5" s="11">
        <f>C5 * '5. Staffing Resources'!$G$2</f>
        <v>289008</v>
      </c>
    </row>
    <row r="6" ht="22.5" customHeight="1">
      <c r="A6" s="2" t="s">
        <v>60</v>
      </c>
      <c r="B6" s="2" t="s">
        <v>34</v>
      </c>
      <c r="C6" s="10">
        <v>128.0</v>
      </c>
      <c r="D6" s="12">
        <f t="shared" si="1"/>
        <v>16</v>
      </c>
      <c r="E6" s="11">
        <f>C6 * '5. Staffing Resources'!$G$2</f>
        <v>154137.6</v>
      </c>
    </row>
    <row r="7" ht="22.5" customHeight="1">
      <c r="A7" s="2" t="s">
        <v>61</v>
      </c>
      <c r="B7" s="2" t="s">
        <v>56</v>
      </c>
      <c r="C7" s="10">
        <v>48.0</v>
      </c>
      <c r="D7" s="12">
        <f t="shared" si="1"/>
        <v>6</v>
      </c>
      <c r="E7" s="11">
        <f>C7 * '5. Staffing Resources'!$G$2</f>
        <v>57801.6</v>
      </c>
    </row>
    <row r="8" ht="22.5" customHeight="1">
      <c r="A8" s="2" t="s">
        <v>62</v>
      </c>
      <c r="B8" s="2" t="s">
        <v>52</v>
      </c>
      <c r="C8" s="10">
        <v>120.0</v>
      </c>
      <c r="D8" s="12">
        <f t="shared" si="1"/>
        <v>15</v>
      </c>
      <c r="E8" s="11">
        <f>C8 * '5. Staffing Resources'!$G$2</f>
        <v>144504</v>
      </c>
    </row>
    <row r="9" ht="22.5" customHeight="1">
      <c r="A9" s="2" t="s">
        <v>63</v>
      </c>
      <c r="B9" s="2" t="s">
        <v>52</v>
      </c>
      <c r="C9" s="10">
        <v>50.0</v>
      </c>
      <c r="D9" s="12">
        <f t="shared" si="1"/>
        <v>6.25</v>
      </c>
      <c r="E9" s="11">
        <f>C9 * '5. Staffing Resources'!$G$2</f>
        <v>60210</v>
      </c>
    </row>
    <row r="10" ht="22.5" customHeight="1">
      <c r="A10" s="14" t="s">
        <v>53</v>
      </c>
      <c r="B10" s="15"/>
      <c r="C10" s="16">
        <f>SUM(Non_Implementation[Hours])</f>
        <v>658</v>
      </c>
      <c r="D10" s="16">
        <f>SUM(Non_Implementation[Mandays])</f>
        <v>82.25</v>
      </c>
      <c r="E10" s="8">
        <f>SUM(Non_Implementation[Cost (CZK)])</f>
        <v>792363.6</v>
      </c>
    </row>
  </sheetData>
  <dataValidations>
    <dataValidation type="custom" allowBlank="1" showDropDown="1" sqref="C2:E9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20.75"/>
    <col customWidth="1" min="4" max="4" width="17.13"/>
  </cols>
  <sheetData>
    <row r="1" ht="22.5" customHeight="1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ht="22.5" customHeight="1">
      <c r="A2" s="2" t="s">
        <v>69</v>
      </c>
      <c r="B2" s="17">
        <v>9500.0</v>
      </c>
      <c r="C2" s="10">
        <v>5.0</v>
      </c>
      <c r="D2" s="11">
        <f t="shared" ref="D2:D5" si="1">B2*C2</f>
        <v>47500</v>
      </c>
      <c r="E2" s="18" t="s">
        <v>70</v>
      </c>
    </row>
    <row r="3" ht="22.5" customHeight="1">
      <c r="A3" s="2" t="s">
        <v>71</v>
      </c>
      <c r="B3" s="17">
        <v>1200.0</v>
      </c>
      <c r="C3" s="10">
        <v>5.0</v>
      </c>
      <c r="D3" s="11">
        <f t="shared" si="1"/>
        <v>6000</v>
      </c>
      <c r="E3" s="18" t="s">
        <v>72</v>
      </c>
    </row>
    <row r="4" ht="22.5" customHeight="1">
      <c r="A4" s="2" t="s">
        <v>73</v>
      </c>
      <c r="B4" s="17">
        <v>3500.0</v>
      </c>
      <c r="C4" s="10">
        <v>2.0</v>
      </c>
      <c r="D4" s="11">
        <f t="shared" si="1"/>
        <v>7000</v>
      </c>
      <c r="E4" s="18" t="s">
        <v>74</v>
      </c>
    </row>
    <row r="5" ht="22.5" customHeight="1">
      <c r="A5" s="2" t="s">
        <v>75</v>
      </c>
      <c r="B5" s="17">
        <v>4000.0</v>
      </c>
      <c r="C5" s="10">
        <v>2.0</v>
      </c>
      <c r="D5" s="11">
        <f t="shared" si="1"/>
        <v>8000</v>
      </c>
      <c r="E5" s="18" t="s">
        <v>76</v>
      </c>
    </row>
    <row r="6" ht="22.5" customHeight="1">
      <c r="A6" s="14" t="s">
        <v>53</v>
      </c>
      <c r="B6" s="19"/>
      <c r="C6" s="19"/>
      <c r="D6" s="8">
        <f>SUM(HW_Price[Total (CZK)])</f>
        <v>68500</v>
      </c>
      <c r="E6" s="15"/>
    </row>
  </sheetData>
  <dataValidations>
    <dataValidation type="custom" allowBlank="1" showDropDown="1" sqref="B2:D5">
      <formula1>AND(ISNUMBER(B2),(NOT(OR(NOT(ISERROR(DATEVALUE(B2))), AND(ISNUMBER(B2), LEFT(CELL("format", B2))="D")))))</formula1>
    </dataValidation>
  </dataValidations>
  <hyperlinks>
    <hyperlink r:id="rId1" ref="E2"/>
    <hyperlink r:id="rId2" ref="E3"/>
    <hyperlink r:id="rId3" ref="E4"/>
    <hyperlink r:id="rId4" ref="E5"/>
  </hyperlinks>
  <drawing r:id="rId5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88"/>
    <col customWidth="1" min="2" max="2" width="35.63"/>
    <col customWidth="1" min="3" max="3" width="18.63"/>
    <col customWidth="1" min="4" max="4" width="23.5"/>
    <col customWidth="1" min="5" max="5" width="20.75"/>
    <col customWidth="1" min="6" max="6" width="22.13"/>
    <col customWidth="1" min="7" max="7" width="20.25"/>
  </cols>
  <sheetData>
    <row r="1" ht="35.25" customHeight="1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 ht="22.5" customHeight="1">
      <c r="A2" s="2" t="s">
        <v>84</v>
      </c>
      <c r="B2" s="2" t="s">
        <v>85</v>
      </c>
      <c r="C2" s="17">
        <v>120000.0</v>
      </c>
      <c r="D2" s="11">
        <f t="shared" ref="D2:D9" si="1">C2*1.338</f>
        <v>160560</v>
      </c>
      <c r="E2" s="20">
        <f t="shared" ref="E2:E9" si="2">D2/160</f>
        <v>1003.5</v>
      </c>
      <c r="F2" s="20">
        <f t="shared" ref="F2:F9" si="3">E2*0.2</f>
        <v>200.7</v>
      </c>
      <c r="G2" s="20">
        <f t="shared" ref="G2:G9" si="4">E2+F2</f>
        <v>1204.2</v>
      </c>
    </row>
    <row r="3" ht="22.5" customHeight="1">
      <c r="A3" s="2" t="s">
        <v>86</v>
      </c>
      <c r="B3" s="2" t="s">
        <v>87</v>
      </c>
      <c r="C3" s="17">
        <v>80000.0</v>
      </c>
      <c r="D3" s="11">
        <f t="shared" si="1"/>
        <v>107040</v>
      </c>
      <c r="E3" s="20">
        <f t="shared" si="2"/>
        <v>669</v>
      </c>
      <c r="F3" s="20">
        <f t="shared" si="3"/>
        <v>133.8</v>
      </c>
      <c r="G3" s="20">
        <f t="shared" si="4"/>
        <v>802.8</v>
      </c>
    </row>
    <row r="4" ht="22.5" customHeight="1">
      <c r="A4" s="2" t="s">
        <v>88</v>
      </c>
      <c r="B4" s="2" t="s">
        <v>89</v>
      </c>
      <c r="C4" s="17">
        <v>95000.0</v>
      </c>
      <c r="D4" s="11">
        <f t="shared" si="1"/>
        <v>127110</v>
      </c>
      <c r="E4" s="20">
        <f t="shared" si="2"/>
        <v>794.4375</v>
      </c>
      <c r="F4" s="20">
        <f t="shared" si="3"/>
        <v>158.8875</v>
      </c>
      <c r="G4" s="20">
        <f t="shared" si="4"/>
        <v>953.325</v>
      </c>
    </row>
    <row r="5" ht="22.5" customHeight="1">
      <c r="A5" s="2" t="s">
        <v>90</v>
      </c>
      <c r="B5" s="2" t="s">
        <v>91</v>
      </c>
      <c r="C5" s="17">
        <v>90000.0</v>
      </c>
      <c r="D5" s="11">
        <f t="shared" si="1"/>
        <v>120420</v>
      </c>
      <c r="E5" s="20">
        <f t="shared" si="2"/>
        <v>752.625</v>
      </c>
      <c r="F5" s="20">
        <f t="shared" si="3"/>
        <v>150.525</v>
      </c>
      <c r="G5" s="20">
        <f t="shared" si="4"/>
        <v>903.15</v>
      </c>
    </row>
    <row r="6" ht="22.5" customHeight="1">
      <c r="A6" s="2" t="s">
        <v>92</v>
      </c>
      <c r="B6" s="2" t="s">
        <v>93</v>
      </c>
      <c r="C6" s="17">
        <v>90000.0</v>
      </c>
      <c r="D6" s="11">
        <f t="shared" si="1"/>
        <v>120420</v>
      </c>
      <c r="E6" s="20">
        <f t="shared" si="2"/>
        <v>752.625</v>
      </c>
      <c r="F6" s="20">
        <f t="shared" si="3"/>
        <v>150.525</v>
      </c>
      <c r="G6" s="20">
        <f t="shared" si="4"/>
        <v>903.15</v>
      </c>
    </row>
    <row r="7" ht="22.5" customHeight="1">
      <c r="A7" s="2" t="s">
        <v>94</v>
      </c>
      <c r="B7" s="2" t="s">
        <v>95</v>
      </c>
      <c r="C7" s="17">
        <v>70000.0</v>
      </c>
      <c r="D7" s="11">
        <f t="shared" si="1"/>
        <v>93660</v>
      </c>
      <c r="E7" s="20">
        <f t="shared" si="2"/>
        <v>585.375</v>
      </c>
      <c r="F7" s="20">
        <f t="shared" si="3"/>
        <v>117.075</v>
      </c>
      <c r="G7" s="20">
        <f t="shared" si="4"/>
        <v>702.45</v>
      </c>
    </row>
    <row r="8" ht="22.5" customHeight="1">
      <c r="A8" s="2" t="s">
        <v>96</v>
      </c>
      <c r="B8" s="2" t="s">
        <v>97</v>
      </c>
      <c r="C8" s="17">
        <v>70000.0</v>
      </c>
      <c r="D8" s="11">
        <f t="shared" si="1"/>
        <v>93660</v>
      </c>
      <c r="E8" s="20">
        <f t="shared" si="2"/>
        <v>585.375</v>
      </c>
      <c r="F8" s="20">
        <f t="shared" si="3"/>
        <v>117.075</v>
      </c>
      <c r="G8" s="20">
        <f t="shared" si="4"/>
        <v>702.45</v>
      </c>
    </row>
    <row r="9" ht="22.5" customHeight="1">
      <c r="A9" s="2" t="s">
        <v>96</v>
      </c>
      <c r="B9" s="2" t="s">
        <v>98</v>
      </c>
      <c r="C9" s="17">
        <v>70000.0</v>
      </c>
      <c r="D9" s="11">
        <f t="shared" si="1"/>
        <v>93660</v>
      </c>
      <c r="E9" s="20">
        <f t="shared" si="2"/>
        <v>585.375</v>
      </c>
      <c r="F9" s="20">
        <f t="shared" si="3"/>
        <v>117.075</v>
      </c>
      <c r="G9" s="20">
        <f t="shared" si="4"/>
        <v>702.45</v>
      </c>
    </row>
    <row r="10" ht="22.5" customHeight="1">
      <c r="A10" s="21" t="s">
        <v>99</v>
      </c>
      <c r="B10" s="22"/>
      <c r="C10" s="22"/>
      <c r="D10" s="22"/>
      <c r="E10" s="22"/>
      <c r="F10" s="22"/>
      <c r="G10" s="20">
        <f>AVERAGE(G2:G9)</f>
        <v>859.246875</v>
      </c>
    </row>
  </sheetData>
  <dataValidations>
    <dataValidation type="custom" allowBlank="1" showDropDown="1" sqref="C2:G9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13"/>
    <col customWidth="1" min="2" max="2" width="25.0"/>
  </cols>
  <sheetData>
    <row r="1" ht="22.5" customHeight="1">
      <c r="A1" s="1" t="s">
        <v>100</v>
      </c>
      <c r="B1" s="1" t="s">
        <v>101</v>
      </c>
    </row>
    <row r="2" ht="22.5" customHeight="1">
      <c r="A2" s="2" t="s">
        <v>102</v>
      </c>
      <c r="B2" s="23">
        <v>45000.0</v>
      </c>
    </row>
    <row r="3" ht="22.5" customHeight="1">
      <c r="A3" s="2" t="s">
        <v>103</v>
      </c>
      <c r="B3" s="23">
        <v>144000.0</v>
      </c>
    </row>
    <row r="4" ht="22.5" customHeight="1">
      <c r="A4" s="2" t="s">
        <v>104</v>
      </c>
      <c r="B4" s="23">
        <v>80000.0</v>
      </c>
    </row>
    <row r="5" ht="22.5" customHeight="1">
      <c r="A5" s="2" t="s">
        <v>105</v>
      </c>
      <c r="B5" s="23">
        <v>120000.0</v>
      </c>
    </row>
    <row r="6" ht="22.5" customHeight="1">
      <c r="A6" s="21" t="s">
        <v>106</v>
      </c>
      <c r="B6" s="20">
        <f>SUM(B2:B5)</f>
        <v>389000</v>
      </c>
    </row>
  </sheetData>
  <dataValidations>
    <dataValidation type="custom" allowBlank="1" showDropDown="1" sqref="B2:B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37.63"/>
  </cols>
  <sheetData>
    <row r="1" ht="22.5" customHeight="1">
      <c r="A1" s="1" t="s">
        <v>107</v>
      </c>
      <c r="B1" s="1" t="s">
        <v>108</v>
      </c>
      <c r="C1" s="1" t="s">
        <v>1</v>
      </c>
    </row>
    <row r="2" ht="22.5" customHeight="1">
      <c r="A2" s="2" t="s">
        <v>109</v>
      </c>
      <c r="B2" s="2" t="s">
        <v>110</v>
      </c>
      <c r="C2" s="2">
        <v>500.0</v>
      </c>
    </row>
    <row r="3" ht="22.5" customHeight="1">
      <c r="A3" s="2" t="s">
        <v>111</v>
      </c>
      <c r="B3" s="2" t="s">
        <v>112</v>
      </c>
      <c r="C3" s="2">
        <v>2.0</v>
      </c>
    </row>
    <row r="4" ht="22.5" customHeight="1">
      <c r="A4" s="2" t="s">
        <v>113</v>
      </c>
      <c r="B4" s="2" t="s">
        <v>114</v>
      </c>
      <c r="C4" s="2">
        <v>1500.0</v>
      </c>
    </row>
    <row r="5" ht="22.5" customHeight="1">
      <c r="A5" s="2" t="s">
        <v>115</v>
      </c>
      <c r="B5" s="2" t="s">
        <v>116</v>
      </c>
      <c r="C5" s="24">
        <v>0.15</v>
      </c>
    </row>
    <row r="6" ht="22.5" customHeight="1">
      <c r="A6" s="2" t="s">
        <v>117</v>
      </c>
      <c r="B6" s="2" t="s">
        <v>118</v>
      </c>
      <c r="C6" s="2">
        <v>5000.0</v>
      </c>
    </row>
    <row r="7" ht="22.5" customHeight="1">
      <c r="A7" s="7" t="s">
        <v>119</v>
      </c>
      <c r="B7" s="7" t="s">
        <v>120</v>
      </c>
      <c r="C7" s="15">
        <f>(C2*C3*C4)+(C2*C5*C6)</f>
        <v>1875000</v>
      </c>
    </row>
    <row r="8" ht="22.5" customHeight="1">
      <c r="A8" s="21" t="s">
        <v>121</v>
      </c>
      <c r="B8" s="21" t="s">
        <v>122</v>
      </c>
      <c r="C8" s="22">
        <f>C7*0.1</f>
        <v>187500</v>
      </c>
    </row>
  </sheetData>
  <drawing r:id="rId1"/>
  <tableParts count="1">
    <tablePart r:id="rId3"/>
  </tableParts>
</worksheet>
</file>